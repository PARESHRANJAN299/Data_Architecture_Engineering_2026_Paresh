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paresh.r/Desktop/Paresh_growth/"/>
    </mc:Choice>
  </mc:AlternateContent>
  <xr:revisionPtr revIDLastSave="0" documentId="13_ncr:1_{B17D4993-7FF0-2745-92A5-AB0350F78CDB}" xr6:coauthVersionLast="47" xr6:coauthVersionMax="47" xr10:uidLastSave="{00000000-0000-0000-0000-000000000000}"/>
  <bookViews>
    <workbookView xWindow="0" yWindow="660" windowWidth="29400" windowHeight="18460" tabRatio="500" activeTab="1" xr2:uid="{00000000-000D-0000-FFFF-FFFF00000000}"/>
  </bookViews>
  <sheets>
    <sheet name="15L Salary" sheetId="1" r:id="rId1"/>
    <sheet name="20L Sal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5" i="2" l="1"/>
  <c r="B12" i="2"/>
  <c r="B7" i="2"/>
  <c r="B8" i="2" s="1"/>
  <c r="B25" i="1"/>
  <c r="B12" i="1"/>
  <c r="B7" i="1"/>
  <c r="B8" i="1" s="1"/>
  <c r="B9" i="2" l="1"/>
  <c r="B10" i="2" s="1"/>
  <c r="B14" i="2" s="1"/>
  <c r="B15" i="2" s="1"/>
  <c r="B19" i="2" s="1"/>
  <c r="B9" i="1"/>
  <c r="B10" i="1" s="1"/>
  <c r="B14" i="1" s="1"/>
  <c r="B15" i="1" s="1"/>
  <c r="B19" i="1" s="1"/>
  <c r="C25" i="2" l="1"/>
  <c r="C20" i="2"/>
  <c r="C21" i="2"/>
  <c r="C22" i="2"/>
  <c r="C23" i="2"/>
  <c r="C24" i="2"/>
  <c r="B26" i="2"/>
  <c r="C26" i="2"/>
  <c r="C25" i="1"/>
  <c r="C21" i="1"/>
  <c r="C22" i="1"/>
  <c r="C23" i="1"/>
  <c r="C24" i="1"/>
  <c r="B26" i="1"/>
  <c r="C26" i="1"/>
  <c r="C20" i="1"/>
</calcChain>
</file>

<file path=xl/sharedStrings.xml><?xml version="1.0" encoding="utf-8"?>
<sst xmlns="http://schemas.openxmlformats.org/spreadsheetml/2006/main" count="74" uniqueCount="36">
  <si>
    <t>Paresh's Monthly Financial Plan — Annual Salary 15L Salary</t>
  </si>
  <si>
    <t>INCOME TAX &amp; IN-HAND SALARY CALCULATION (New Tax Regime, FY 2026-27)</t>
  </si>
  <si>
    <t>Item</t>
  </si>
  <si>
    <t>Value</t>
  </si>
  <si>
    <t>Notes</t>
  </si>
  <si>
    <t>Annual Gross Salary</t>
  </si>
  <si>
    <t>Editable input — change this to test other salary levels</t>
  </si>
  <si>
    <t>Standard Deduction</t>
  </si>
  <si>
    <t>Fixed under New Tax Regime</t>
  </si>
  <si>
    <t>Taxable Income</t>
  </si>
  <si>
    <t>Income Tax (before cess)</t>
  </si>
  <si>
    <t>Slabs: 0-4L nil, 4-8L 5%, 8-12L 10%, 12-16L 15%, 16-20L 20%, 20-24L 25%, &gt;24L 30%. Sec 87A rebate zeroes tax if taxable income ≤ ₹12L.</t>
  </si>
  <si>
    <t>Health &amp; Education Cess (4%)</t>
  </si>
  <si>
    <t>Total Income Tax (annual)</t>
  </si>
  <si>
    <t>PF Rate Assumption (% of gross)</t>
  </si>
  <si>
    <t>Estimated from your current PF ratio (₹1,800 on ₹60,000 salary). Adjust if your employer's actual PF % differs.</t>
  </si>
  <si>
    <t>PF Contribution (annual)</t>
  </si>
  <si>
    <t>Professional Tax (annual)</t>
  </si>
  <si>
    <t>Net Annual In-Hand</t>
  </si>
  <si>
    <t>MONTHLY IN-HAND SALARY</t>
  </si>
  <si>
    <t>MONTHLY BUDGET &amp; SIP PLAN</t>
  </si>
  <si>
    <t>Amount</t>
  </si>
  <si>
    <t>% of In-Hand</t>
  </si>
  <si>
    <t>Monthly In-Hand Salary</t>
  </si>
  <si>
    <t>100.0%</t>
  </si>
  <si>
    <t>Linked from tax calculation above</t>
  </si>
  <si>
    <t>Land Loan EMI</t>
  </si>
  <si>
    <t>11.5% interest, 5-yr tenure</t>
  </si>
  <si>
    <t>College Loan EMI</t>
  </si>
  <si>
    <t>Living Expenses</t>
  </si>
  <si>
    <t>Family Support</t>
  </si>
  <si>
    <t>SIP Investments</t>
  </si>
  <si>
    <t>Wealth-building — mutual fund SIPs</t>
  </si>
  <si>
    <t>Total Committed</t>
  </si>
  <si>
    <t>FREE CASH / SAVINGS LEFTOVER</t>
  </si>
  <si>
    <t>Paresh's Monthly Financial Plan — Annual Salary 20L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</si>
</sst>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;&quot;(₹&quot;#,##0\);\-"/>
    <numFmt numFmtId="165" formatCode="0.0%"/>
  </numFmts>
  <fonts count="8" x14ac:knownFonts="1">
    <font>
      <sz val="11"/>
      <color theme="1"/>
      <name val="Calibri"/>
      <family val="2"/>
      <charset val="1"/>
    </font>
    <font>
      <b/>
      <sz val="14"/>
      <color rgb="FFFFFFFF"/>
      <name val="Cambria"/>
      <family val="1"/>
    </font>
    <font>
      <b/>
      <sz val="11"/>
      <name val="Cambria"/>
      <family val="1"/>
    </font>
    <font>
      <b/>
      <sz val="11"/>
      <color rgb="FFFFFFFF"/>
      <name val="Cambria"/>
      <family val="1"/>
    </font>
    <font>
      <sz val="11"/>
      <color rgb="FF0000FF"/>
      <name val="Cambria"/>
      <family val="1"/>
    </font>
    <font>
      <i/>
      <sz val="9"/>
      <name val="Cambria"/>
      <family val="1"/>
    </font>
    <font>
      <sz val="11"/>
      <color rgb="FF000000"/>
      <name val="Cambria"/>
      <family val="1"/>
    </font>
    <font>
      <sz val="11"/>
      <color rgb="FF008000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solid">
        <fgColor rgb="FF548235"/>
        <bgColor rgb="FF339966"/>
      </patternFill>
    </fill>
    <fill>
      <patternFill patternType="solid">
        <fgColor rgb="FFC00000"/>
        <bgColor rgb="FF800000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0" xfId="0" applyFont="1" applyFill="1"/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/>
    <xf numFmtId="0" fontId="0" fillId="0" borderId="1" xfId="0" applyBorder="1"/>
    <xf numFmtId="164" fontId="4" fillId="0" borderId="1" xfId="0" applyNumberFormat="1" applyFont="1" applyBorder="1"/>
    <xf numFmtId="0" fontId="5" fillId="0" borderId="0" xfId="0" applyFont="1"/>
    <xf numFmtId="164" fontId="6" fillId="0" borderId="1" xfId="0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165" fontId="4" fillId="0" borderId="1" xfId="0" applyNumberFormat="1" applyFont="1" applyBorder="1"/>
    <xf numFmtId="0" fontId="3" fillId="4" borderId="1" xfId="0" applyFont="1" applyFill="1" applyBorder="1"/>
    <xf numFmtId="164" fontId="3" fillId="4" borderId="1" xfId="0" applyNumberFormat="1" applyFont="1" applyFill="1" applyBorder="1"/>
    <xf numFmtId="164" fontId="7" fillId="0" borderId="1" xfId="0" applyNumberFormat="1" applyFont="1" applyBorder="1"/>
    <xf numFmtId="165" fontId="0" fillId="0" borderId="1" xfId="0" applyNumberFormat="1" applyBorder="1"/>
    <xf numFmtId="165" fontId="2" fillId="0" borderId="1" xfId="0" applyNumberFormat="1" applyFont="1" applyBorder="1"/>
    <xf numFmtId="0" fontId="3" fillId="5" borderId="1" xfId="0" applyFont="1" applyFill="1" applyBorder="1"/>
    <xf numFmtId="164" fontId="3" fillId="5" borderId="1" xfId="0" applyNumberFormat="1" applyFont="1" applyFill="1" applyBorder="1"/>
    <xf numFmtId="165" fontId="3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zoomScale="164" zoomScaleNormal="100" workbookViewId="0">
      <pane ySplit="3" topLeftCell="A8" activePane="bottomLeft" state="frozen"/>
      <selection pane="bottomLeft" activeCell="D26" sqref="D26"/>
    </sheetView>
  </sheetViews>
  <sheetFormatPr baseColWidth="10" defaultColWidth="8.6640625" defaultRowHeight="15" x14ac:dyDescent="0.2"/>
  <cols>
    <col min="1" max="1" width="34" customWidth="1"/>
    <col min="2" max="3" width="18" customWidth="1"/>
    <col min="4" max="4" width="40" customWidth="1"/>
  </cols>
  <sheetData>
    <row r="1" spans="1:4" ht="24" customHeight="1" x14ac:dyDescent="0.2">
      <c r="A1" s="2" t="s">
        <v>0</v>
      </c>
      <c r="B1" s="2"/>
      <c r="C1" s="2"/>
      <c r="D1" s="2"/>
    </row>
    <row r="3" spans="1:4" x14ac:dyDescent="0.2">
      <c r="A3" s="1" t="s">
        <v>1</v>
      </c>
      <c r="B3" s="1"/>
      <c r="C3" s="1"/>
      <c r="D3" s="1"/>
    </row>
    <row r="4" spans="1:4" x14ac:dyDescent="0.2">
      <c r="A4" s="3" t="s">
        <v>2</v>
      </c>
      <c r="B4" s="3" t="s">
        <v>3</v>
      </c>
      <c r="C4" s="3"/>
      <c r="D4" s="3" t="s">
        <v>4</v>
      </c>
    </row>
    <row r="5" spans="1:4" x14ac:dyDescent="0.2">
      <c r="A5" s="4" t="s">
        <v>5</v>
      </c>
      <c r="B5" s="5">
        <v>1500000</v>
      </c>
      <c r="D5" s="6" t="s">
        <v>6</v>
      </c>
    </row>
    <row r="6" spans="1:4" x14ac:dyDescent="0.2">
      <c r="A6" s="4" t="s">
        <v>7</v>
      </c>
      <c r="B6" s="5">
        <v>75000</v>
      </c>
      <c r="D6" s="6" t="s">
        <v>8</v>
      </c>
    </row>
    <row r="7" spans="1:4" x14ac:dyDescent="0.2">
      <c r="A7" s="4" t="s">
        <v>9</v>
      </c>
      <c r="B7" s="7">
        <f>B5-B6</f>
        <v>1425000</v>
      </c>
    </row>
    <row r="8" spans="1:4" x14ac:dyDescent="0.2">
      <c r="A8" s="4" t="s">
        <v>10</v>
      </c>
      <c r="B8" s="7">
        <f>IF(B7&lt;=1200000,0,IF(B7&lt;=1600000,60000+(B7-1200000)*0.15,IF(B7&lt;=2000000,120000+(B7-1600000)*0.2,IF(B7&lt;=2400000,200000+(B7-2000000)*0.25,300000+(B7-2400000)*0.3))))</f>
        <v>93750</v>
      </c>
      <c r="D8" s="6" t="s">
        <v>11</v>
      </c>
    </row>
    <row r="9" spans="1:4" x14ac:dyDescent="0.2">
      <c r="A9" s="4" t="s">
        <v>12</v>
      </c>
      <c r="B9" s="7">
        <f>B8*0.04</f>
        <v>3750</v>
      </c>
    </row>
    <row r="10" spans="1:4" x14ac:dyDescent="0.2">
      <c r="A10" s="8" t="s">
        <v>13</v>
      </c>
      <c r="B10" s="9">
        <f>B8+B9</f>
        <v>97500</v>
      </c>
    </row>
    <row r="11" spans="1:4" x14ac:dyDescent="0.2">
      <c r="A11" s="4" t="s">
        <v>14</v>
      </c>
      <c r="B11" s="10">
        <v>0.03</v>
      </c>
      <c r="D11" s="6" t="s">
        <v>15</v>
      </c>
    </row>
    <row r="12" spans="1:4" x14ac:dyDescent="0.2">
      <c r="A12" s="4" t="s">
        <v>16</v>
      </c>
      <c r="B12" s="7">
        <f>B5*B11</f>
        <v>45000</v>
      </c>
    </row>
    <row r="13" spans="1:4" x14ac:dyDescent="0.2">
      <c r="A13" s="4" t="s">
        <v>17</v>
      </c>
      <c r="B13" s="5">
        <v>2400</v>
      </c>
    </row>
    <row r="14" spans="1:4" x14ac:dyDescent="0.2">
      <c r="A14" s="8" t="s">
        <v>18</v>
      </c>
      <c r="B14" s="9">
        <f>B5-B10-B12-B13</f>
        <v>1355100</v>
      </c>
    </row>
    <row r="15" spans="1:4" x14ac:dyDescent="0.2">
      <c r="A15" s="11" t="s">
        <v>19</v>
      </c>
      <c r="B15" s="12">
        <f>B14/12</f>
        <v>112925</v>
      </c>
    </row>
    <row r="17" spans="1:4" x14ac:dyDescent="0.2">
      <c r="A17" s="1" t="s">
        <v>20</v>
      </c>
      <c r="B17" s="1"/>
      <c r="C17" s="1"/>
      <c r="D17" s="1"/>
    </row>
    <row r="18" spans="1:4" x14ac:dyDescent="0.2">
      <c r="A18" s="3" t="s">
        <v>2</v>
      </c>
      <c r="B18" s="3" t="s">
        <v>21</v>
      </c>
      <c r="C18" s="3" t="s">
        <v>22</v>
      </c>
      <c r="D18" s="3" t="s">
        <v>4</v>
      </c>
    </row>
    <row r="19" spans="1:4" x14ac:dyDescent="0.2">
      <c r="A19" s="4" t="s">
        <v>23</v>
      </c>
      <c r="B19" s="13">
        <f>B15</f>
        <v>112925</v>
      </c>
      <c r="C19" s="4" t="s">
        <v>24</v>
      </c>
      <c r="D19" s="6" t="s">
        <v>25</v>
      </c>
    </row>
    <row r="20" spans="1:4" x14ac:dyDescent="0.2">
      <c r="A20" s="4" t="s">
        <v>26</v>
      </c>
      <c r="B20" s="5">
        <v>32986</v>
      </c>
      <c r="C20" s="14">
        <f t="shared" ref="C20:C25" si="0">B20/$B$19</f>
        <v>0.29210537967677663</v>
      </c>
      <c r="D20" s="6" t="s">
        <v>27</v>
      </c>
    </row>
    <row r="21" spans="1:4" x14ac:dyDescent="0.2">
      <c r="A21" s="4" t="s">
        <v>28</v>
      </c>
      <c r="B21" s="5">
        <v>9500</v>
      </c>
      <c r="C21" s="14">
        <f t="shared" si="0"/>
        <v>8.4126632720832414E-2</v>
      </c>
      <c r="D21" s="6"/>
    </row>
    <row r="22" spans="1:4" x14ac:dyDescent="0.2">
      <c r="A22" s="4" t="s">
        <v>29</v>
      </c>
      <c r="B22" s="5">
        <v>15000</v>
      </c>
      <c r="C22" s="14">
        <f t="shared" si="0"/>
        <v>0.13283152534868276</v>
      </c>
      <c r="D22" s="6"/>
    </row>
    <row r="23" spans="1:4" x14ac:dyDescent="0.2">
      <c r="A23" s="4" t="s">
        <v>30</v>
      </c>
      <c r="B23" s="5">
        <v>5000</v>
      </c>
      <c r="C23" s="14">
        <f t="shared" si="0"/>
        <v>4.4277175116227585E-2</v>
      </c>
      <c r="D23" s="6"/>
    </row>
    <row r="24" spans="1:4" x14ac:dyDescent="0.2">
      <c r="A24" s="4" t="s">
        <v>31</v>
      </c>
      <c r="B24" s="5">
        <v>10000</v>
      </c>
      <c r="C24" s="14">
        <f t="shared" si="0"/>
        <v>8.855435023245517E-2</v>
      </c>
      <c r="D24" s="6" t="s">
        <v>32</v>
      </c>
    </row>
    <row r="25" spans="1:4" x14ac:dyDescent="0.2">
      <c r="A25" s="8" t="s">
        <v>33</v>
      </c>
      <c r="B25" s="9">
        <f>B20+B21+B22+B23+B24</f>
        <v>72486</v>
      </c>
      <c r="C25" s="15">
        <f t="shared" si="0"/>
        <v>0.64189506309497457</v>
      </c>
    </row>
    <row r="26" spans="1:4" x14ac:dyDescent="0.2">
      <c r="A26" s="16" t="s">
        <v>34</v>
      </c>
      <c r="B26" s="17">
        <f>B19-B25</f>
        <v>40439</v>
      </c>
      <c r="C26" s="18">
        <f>(B19-B25)/B19</f>
        <v>0.35810493690502548</v>
      </c>
    </row>
  </sheetData>
  <mergeCells count="3">
    <mergeCell ref="A1:D1"/>
    <mergeCell ref="A3:D3"/>
    <mergeCell ref="A17:D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tabSelected="1" zoomScale="150" zoomScaleNormal="100" workbookViewId="0">
      <pane ySplit="3" topLeftCell="A4" activePane="bottomLeft" state="frozen"/>
      <selection pane="bottomLeft" activeCell="C9" sqref="C9"/>
    </sheetView>
  </sheetViews>
  <sheetFormatPr baseColWidth="10" defaultColWidth="8.6640625" defaultRowHeight="15" x14ac:dyDescent="0.2"/>
  <cols>
    <col min="1" max="1" width="34" customWidth="1"/>
    <col min="2" max="3" width="18" customWidth="1"/>
    <col min="4" max="4" width="40" customWidth="1"/>
  </cols>
  <sheetData>
    <row r="1" spans="1:4" ht="24" customHeight="1" x14ac:dyDescent="0.2">
      <c r="A1" s="2" t="s">
        <v>35</v>
      </c>
      <c r="B1" s="2"/>
      <c r="C1" s="2"/>
      <c r="D1" s="2"/>
    </row>
    <row r="3" spans="1:4" x14ac:dyDescent="0.2">
      <c r="A3" s="1" t="s">
        <v>1</v>
      </c>
      <c r="B3" s="1"/>
      <c r="C3" s="1"/>
      <c r="D3" s="1"/>
    </row>
    <row r="4" spans="1:4" x14ac:dyDescent="0.2">
      <c r="A4" s="3" t="s">
        <v>2</v>
      </c>
      <c r="B4" s="3" t="s">
        <v>3</v>
      </c>
      <c r="C4" s="3"/>
      <c r="D4" s="3" t="s">
        <v>4</v>
      </c>
    </row>
    <row r="5" spans="1:4" x14ac:dyDescent="0.2">
      <c r="A5" s="4" t="s">
        <v>5</v>
      </c>
      <c r="B5" s="5">
        <v>2000000</v>
      </c>
      <c r="D5" s="6" t="s">
        <v>6</v>
      </c>
    </row>
    <row r="6" spans="1:4" x14ac:dyDescent="0.2">
      <c r="A6" s="4" t="s">
        <v>7</v>
      </c>
      <c r="B6" s="5">
        <v>75000</v>
      </c>
      <c r="D6" s="6" t="s">
        <v>8</v>
      </c>
    </row>
    <row r="7" spans="1:4" x14ac:dyDescent="0.2">
      <c r="A7" s="4" t="s">
        <v>9</v>
      </c>
      <c r="B7" s="7">
        <f>B5-B6</f>
        <v>1925000</v>
      </c>
    </row>
    <row r="8" spans="1:4" x14ac:dyDescent="0.2">
      <c r="A8" s="4" t="s">
        <v>10</v>
      </c>
      <c r="B8" s="7">
        <f>IF(B7&lt;=1200000,0,IF(B7&lt;=1600000,60000+(B7-1200000)*0.15,IF(B7&lt;=2000000,120000+(B7-1600000)*0.2,IF(B7&lt;=2400000,200000+(B7-2000000)*0.25,300000+(B7-2400000)*0.3))))</f>
        <v>185000</v>
      </c>
      <c r="D8" s="6" t="s">
        <v>11</v>
      </c>
    </row>
    <row r="9" spans="1:4" x14ac:dyDescent="0.2">
      <c r="A9" s="4" t="s">
        <v>12</v>
      </c>
      <c r="B9" s="7">
        <f>B8*0.04</f>
        <v>7400</v>
      </c>
    </row>
    <row r="10" spans="1:4" x14ac:dyDescent="0.2">
      <c r="A10" s="8" t="s">
        <v>13</v>
      </c>
      <c r="B10" s="9">
        <f>B8+B9</f>
        <v>192400</v>
      </c>
    </row>
    <row r="11" spans="1:4" x14ac:dyDescent="0.2">
      <c r="A11" s="4" t="s">
        <v>14</v>
      </c>
      <c r="B11" s="10">
        <v>0.03</v>
      </c>
      <c r="D11" s="6" t="s">
        <v>15</v>
      </c>
    </row>
    <row r="12" spans="1:4" x14ac:dyDescent="0.2">
      <c r="A12" s="4" t="s">
        <v>16</v>
      </c>
      <c r="B12" s="7">
        <f>B5*B11</f>
        <v>60000</v>
      </c>
    </row>
    <row r="13" spans="1:4" x14ac:dyDescent="0.2">
      <c r="A13" s="4" t="s">
        <v>17</v>
      </c>
      <c r="B13" s="5">
        <v>2400</v>
      </c>
    </row>
    <row r="14" spans="1:4" x14ac:dyDescent="0.2">
      <c r="A14" s="8" t="s">
        <v>18</v>
      </c>
      <c r="B14" s="9">
        <f>B5-B10-B12-B13</f>
        <v>1745200</v>
      </c>
    </row>
    <row r="15" spans="1:4" x14ac:dyDescent="0.2">
      <c r="A15" s="11" t="s">
        <v>19</v>
      </c>
      <c r="B15" s="12">
        <f>B14/12</f>
        <v>145433.33333333334</v>
      </c>
    </row>
    <row r="17" spans="1:4" x14ac:dyDescent="0.2">
      <c r="A17" s="1" t="s">
        <v>20</v>
      </c>
      <c r="B17" s="1"/>
      <c r="C17" s="1"/>
      <c r="D17" s="1"/>
    </row>
    <row r="18" spans="1:4" x14ac:dyDescent="0.2">
      <c r="A18" s="3" t="s">
        <v>2</v>
      </c>
      <c r="B18" s="3" t="s">
        <v>21</v>
      </c>
      <c r="C18" s="3" t="s">
        <v>22</v>
      </c>
      <c r="D18" s="3" t="s">
        <v>4</v>
      </c>
    </row>
    <row r="19" spans="1:4" x14ac:dyDescent="0.2">
      <c r="A19" s="4" t="s">
        <v>23</v>
      </c>
      <c r="B19" s="13">
        <f>B15</f>
        <v>145433.33333333334</v>
      </c>
      <c r="C19" s="4" t="s">
        <v>24</v>
      </c>
      <c r="D19" s="6" t="s">
        <v>25</v>
      </c>
    </row>
    <row r="20" spans="1:4" x14ac:dyDescent="0.2">
      <c r="A20" s="4" t="s">
        <v>26</v>
      </c>
      <c r="B20" s="5">
        <v>32986</v>
      </c>
      <c r="C20" s="14">
        <f t="shared" ref="C20:C25" si="0">B20/$B$19</f>
        <v>0.22681182672473069</v>
      </c>
      <c r="D20" s="6" t="s">
        <v>27</v>
      </c>
    </row>
    <row r="21" spans="1:4" x14ac:dyDescent="0.2">
      <c r="A21" s="4" t="s">
        <v>28</v>
      </c>
      <c r="B21" s="5">
        <v>9500</v>
      </c>
      <c r="C21" s="14">
        <f t="shared" si="0"/>
        <v>6.5322026128810454E-2</v>
      </c>
      <c r="D21" s="6"/>
    </row>
    <row r="22" spans="1:4" x14ac:dyDescent="0.2">
      <c r="A22" s="4" t="s">
        <v>29</v>
      </c>
      <c r="B22" s="5">
        <v>15000</v>
      </c>
      <c r="C22" s="14">
        <f t="shared" si="0"/>
        <v>0.1031400412560165</v>
      </c>
      <c r="D22" s="6"/>
    </row>
    <row r="23" spans="1:4" x14ac:dyDescent="0.2">
      <c r="A23" s="4" t="s">
        <v>30</v>
      </c>
      <c r="B23" s="5">
        <v>5000</v>
      </c>
      <c r="C23" s="14">
        <f t="shared" si="0"/>
        <v>3.43800137520055E-2</v>
      </c>
      <c r="D23" s="6"/>
    </row>
    <row r="24" spans="1:4" x14ac:dyDescent="0.2">
      <c r="A24" s="4" t="s">
        <v>31</v>
      </c>
      <c r="B24" s="5">
        <v>10000</v>
      </c>
      <c r="C24" s="14">
        <f t="shared" si="0"/>
        <v>6.8760027504011001E-2</v>
      </c>
      <c r="D24" s="6" t="s">
        <v>32</v>
      </c>
    </row>
    <row r="25" spans="1:4" x14ac:dyDescent="0.2">
      <c r="A25" s="8" t="s">
        <v>33</v>
      </c>
      <c r="B25" s="9">
        <f>B20+B21+B22+B23+B24</f>
        <v>72486</v>
      </c>
      <c r="C25" s="15">
        <f t="shared" si="0"/>
        <v>0.4984139353655741</v>
      </c>
    </row>
    <row r="26" spans="1:4" x14ac:dyDescent="0.2">
      <c r="A26" s="16" t="s">
        <v>34</v>
      </c>
      <c r="B26" s="17">
        <f>B19-B25</f>
        <v>72947.333333333343</v>
      </c>
      <c r="C26" s="18">
        <f>(B19-B25)/B19</f>
        <v>0.5015860646344259</v>
      </c>
    </row>
  </sheetData>
  <mergeCells count="3">
    <mergeCell ref="A1:D1"/>
    <mergeCell ref="A3:D3"/>
    <mergeCell ref="A17:D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15L Salary</vt:lpstr>
      <vt:lpstr>20L Salary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paresh.r</cp:lastModifiedBy>
  <cp:revision>0</cp:revision>
  <dcterms:created xsi:type="dcterms:W3CDTF">2026-07-05T21:08:46Z</dcterms:created>
  <dcterms:modified xsi:type="dcterms:W3CDTF">2026-07-05T21:18:40Z</dcterms:modified>
  <dc:language>en-US</dc:language>
</cp:coreProperties>
</file>